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ellamaggiora/Desktop/AI + EDM/longevity-dashboard/"/>
    </mc:Choice>
  </mc:AlternateContent>
  <xr:revisionPtr revIDLastSave="0" documentId="13_ncr:1_{78641B4E-957F-754F-8B0F-C179A2AE08BF}" xr6:coauthVersionLast="47" xr6:coauthVersionMax="47" xr10:uidLastSave="{00000000-0000-0000-0000-000000000000}"/>
  <bookViews>
    <workbookView xWindow="-41060" yWindow="880" windowWidth="34260" windowHeight="26600" xr2:uid="{2A1D174E-49C0-1641-882D-5EFF24BA8C4E}"/>
  </bookViews>
  <sheets>
    <sheet name="Biomarkers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2" l="1"/>
  <c r="G36" i="2"/>
  <c r="E8" i="2"/>
  <c r="E14" i="2"/>
  <c r="G8" i="2"/>
  <c r="G14" i="2"/>
  <c r="Q14" i="2"/>
  <c r="Q36" i="2"/>
  <c r="Q11" i="2"/>
  <c r="Q8" i="2"/>
  <c r="AK11" i="2"/>
  <c r="AM11" i="2"/>
  <c r="AO11" i="2"/>
  <c r="AQ11" i="2"/>
  <c r="AI11" i="2"/>
  <c r="AG11" i="2"/>
  <c r="I11" i="2"/>
  <c r="I8" i="2"/>
  <c r="I36" i="2"/>
  <c r="I14" i="2"/>
  <c r="AE11" i="2"/>
  <c r="AC11" i="2"/>
  <c r="AA11" i="2"/>
  <c r="Y11" i="2"/>
  <c r="W11" i="2"/>
  <c r="U11" i="2"/>
  <c r="S11" i="2"/>
  <c r="O11" i="2"/>
  <c r="M11" i="2"/>
  <c r="K11" i="2"/>
  <c r="K36" i="2"/>
  <c r="K14" i="2"/>
  <c r="K8" i="2"/>
  <c r="M8" i="2"/>
  <c r="U36" i="2"/>
  <c r="S36" i="2"/>
  <c r="O36" i="2"/>
  <c r="M36" i="2"/>
  <c r="M14" i="2"/>
  <c r="O8" i="2"/>
  <c r="O14" i="2"/>
  <c r="S14" i="2"/>
  <c r="S8" i="2"/>
  <c r="U8" i="2"/>
  <c r="W8" i="2"/>
  <c r="W14" i="2"/>
  <c r="Y8" i="2"/>
  <c r="AK9" i="2"/>
  <c r="AM9" i="2" s="1"/>
  <c r="AO9" i="2" s="1"/>
  <c r="AQ9" i="2" s="1"/>
  <c r="AQ8" i="2"/>
  <c r="AO8" i="2"/>
  <c r="AM8" i="2"/>
  <c r="AK8" i="2"/>
  <c r="Y14" i="2" l="1"/>
  <c r="AA8" i="2" l="1"/>
  <c r="AA14" i="2"/>
  <c r="AI8" i="2"/>
  <c r="AI14" i="2"/>
  <c r="AG14" i="2"/>
  <c r="AE14" i="2"/>
  <c r="AC14" i="2"/>
  <c r="AE10" i="2"/>
  <c r="AE9" i="2"/>
  <c r="AE8" i="2"/>
  <c r="AG10" i="2"/>
  <c r="AI10" i="2" s="1"/>
  <c r="AG9" i="2"/>
  <c r="AI9" i="2" s="1"/>
  <c r="AG8" i="2"/>
  <c r="AK10" i="2" l="1"/>
  <c r="AM10" i="2" s="1"/>
  <c r="AO10" i="2" s="1"/>
  <c r="AQ10" i="2" s="1"/>
  <c r="AC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tc={09058341-D1A3-8C4F-ACCF-C49D0A42819F}</author>
    <author>tc={83CA7181-B2F3-5B45-9F91-7945D2554445}</author>
  </authors>
  <commentList>
    <comment ref="AG3" authorId="0" shapeId="0" xr:uid="{09058341-D1A3-8C4F-ACCF-C49D0A428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 Kona</t>
      </text>
    </comment>
    <comment ref="AS3" authorId="1" shapeId="0" xr:uid="{83CA7181-B2F3-5B45-9F91-7945D255444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Post Kona</t>
      </text>
    </comment>
  </commentList>
</comments>
</file>

<file path=xl/sharedStrings.xml><?xml version="1.0" encoding="utf-8"?>
<sst xmlns="http://schemas.openxmlformats.org/spreadsheetml/2006/main" count="208" uniqueCount="94">
  <si>
    <t>Function Health</t>
  </si>
  <si>
    <t>Blueprint</t>
  </si>
  <si>
    <t>Superpower</t>
  </si>
  <si>
    <t>Insidetracker</t>
  </si>
  <si>
    <t>Fasting Glucose</t>
  </si>
  <si>
    <t>Triglicerides</t>
  </si>
  <si>
    <t>HDL</t>
  </si>
  <si>
    <t>Optimal</t>
  </si>
  <si>
    <t>&lt;35</t>
  </si>
  <si>
    <t>Blood Pressure</t>
  </si>
  <si>
    <t>&lt;80</t>
  </si>
  <si>
    <t>Waist Circumference</t>
  </si>
  <si>
    <t>Triglicerides-to-HDL ratio</t>
  </si>
  <si>
    <t>&lt;1.0</t>
  </si>
  <si>
    <t>120 / 80</t>
  </si>
  <si>
    <t>High Sensitivity CRP (hsCRP)</t>
  </si>
  <si>
    <t>Primary</t>
  </si>
  <si>
    <t>Hemoglobin A1c (HbA1c)</t>
  </si>
  <si>
    <t>50&lt;&gt;90</t>
  </si>
  <si>
    <t>Uric Acid</t>
  </si>
  <si>
    <t>&lt;25</t>
  </si>
  <si>
    <t>AST (Liver)</t>
  </si>
  <si>
    <t>ALT (Liver)</t>
  </si>
  <si>
    <t>GGT (Liver)</t>
  </si>
  <si>
    <t>Vitamin D</t>
  </si>
  <si>
    <t>Fasting Insulin</t>
  </si>
  <si>
    <t>2 &lt;&gt; 5</t>
  </si>
  <si>
    <t>&lt;10</t>
  </si>
  <si>
    <t>HOMA-IR</t>
  </si>
  <si>
    <t>Lifeforce</t>
  </si>
  <si>
    <t>ApoB</t>
  </si>
  <si>
    <t>Mito Health</t>
  </si>
  <si>
    <t>&lt;75</t>
  </si>
  <si>
    <t>Total Testosterone</t>
  </si>
  <si>
    <t>Cortisol</t>
  </si>
  <si>
    <t>X</t>
  </si>
  <si>
    <t>Hormones</t>
  </si>
  <si>
    <t>Mercury</t>
  </si>
  <si>
    <t>&lt;70</t>
  </si>
  <si>
    <t>&lt;20</t>
  </si>
  <si>
    <t>Prolactin</t>
  </si>
  <si>
    <t>4 &lt;&gt; 15.2</t>
  </si>
  <si>
    <t>Free Testosterone</t>
  </si>
  <si>
    <t xml:space="preserve">DHEA Sulfate </t>
  </si>
  <si>
    <t xml:space="preserve">Insulin-like Growth Factor </t>
  </si>
  <si>
    <t>200 &lt;&gt; 280</t>
  </si>
  <si>
    <t>400 &lt;&gt; 500</t>
  </si>
  <si>
    <t>6.2  &lt;&gt; 19.4</t>
  </si>
  <si>
    <t>Toxins</t>
  </si>
  <si>
    <t>Athlete Blood Test</t>
  </si>
  <si>
    <t>12&lt;&gt; 25</t>
  </si>
  <si>
    <t>&lt;4</t>
  </si>
  <si>
    <t>&lt;32</t>
  </si>
  <si>
    <t>50 &lt;&gt; 100</t>
  </si>
  <si>
    <t>&lt;90</t>
  </si>
  <si>
    <t>Eternal</t>
  </si>
  <si>
    <t>Heart Health</t>
  </si>
  <si>
    <t>Biograph</t>
  </si>
  <si>
    <t>PSA</t>
  </si>
  <si>
    <t xml:space="preserve">LDL-Cholesterol </t>
  </si>
  <si>
    <t>&lt;4.0</t>
  </si>
  <si>
    <t xml:space="preserve">Creatinine </t>
  </si>
  <si>
    <t>0.8 &lt;&gt; 1.3</t>
  </si>
  <si>
    <t xml:space="preserve">AXO </t>
  </si>
  <si>
    <t>Blokes</t>
  </si>
  <si>
    <t xml:space="preserve">Liporotein A </t>
  </si>
  <si>
    <t>BUN</t>
  </si>
  <si>
    <t xml:space="preserve">Homocystine </t>
  </si>
  <si>
    <t>Ferritin</t>
  </si>
  <si>
    <t>Magnesium</t>
  </si>
  <si>
    <t>Inflammation</t>
  </si>
  <si>
    <t>Liver</t>
  </si>
  <si>
    <t>BUN / Creatinine</t>
  </si>
  <si>
    <t>Kidney</t>
  </si>
  <si>
    <t>Nutrients / Minerals</t>
  </si>
  <si>
    <t>Vitamins</t>
  </si>
  <si>
    <t>Vitamin B12</t>
  </si>
  <si>
    <t>Metabolic Health</t>
  </si>
  <si>
    <t>Ultrahuman</t>
  </si>
  <si>
    <t>Folate</t>
  </si>
  <si>
    <t>&gt;20</t>
  </si>
  <si>
    <t>4.8 &lt;&gt; 5.6</t>
  </si>
  <si>
    <t>Iron</t>
  </si>
  <si>
    <t>38 - 169</t>
  </si>
  <si>
    <t>127/70</t>
  </si>
  <si>
    <t>3.7-7</t>
  </si>
  <si>
    <t>50-400</t>
  </si>
  <si>
    <t>&gt;3</t>
  </si>
  <si>
    <t>&lt;40</t>
  </si>
  <si>
    <t>700 &lt;&gt; 1,200</t>
  </si>
  <si>
    <t>VLDL (very-low-density lipoprotein)</t>
  </si>
  <si>
    <t>4 &lt;&gt; 47</t>
  </si>
  <si>
    <t>&lt;1</t>
  </si>
  <si>
    <t>6 &lt;&gt;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</si>
</sst>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&quot;-&quot;"/>
    <numFmt numFmtId="168" formatCode="_(&quot;$&quot;* #,##0_);_(&quot;$&quot;* \(#,##0\);_(&quot;$&quot;* &quot;-&quot;??_);_(@_)"/>
    <numFmt numFmtId="169" formatCode="[$-409]mmm\-yy;@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i/>
      <sz val="12"/>
      <color theme="1"/>
      <name val="Aptos Narrow"/>
      <scheme val="minor"/>
    </font>
    <font>
      <sz val="13"/>
      <color rgb="FF1F1F1F"/>
      <name val="Google Sans"/>
    </font>
    <font>
      <b/>
      <sz val="12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5E6A2"/>
        <bgColor rgb="FF00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6" fontId="0" fillId="2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4" fillId="0" borderId="0" xfId="0" applyFont="1"/>
    <xf numFmtId="165" fontId="0" fillId="4" borderId="0" xfId="2" applyNumberFormat="1" applyFont="1" applyFill="1" applyAlignment="1">
      <alignment horizontal="center"/>
    </xf>
    <xf numFmtId="165" fontId="0" fillId="0" borderId="0" xfId="2" applyNumberFormat="1" applyFont="1" applyFill="1" applyAlignment="1">
      <alignment horizontal="center"/>
    </xf>
    <xf numFmtId="0" fontId="5" fillId="0" borderId="0" xfId="0" applyFont="1"/>
    <xf numFmtId="165" fontId="0" fillId="2" borderId="0" xfId="2" applyNumberFormat="1" applyFont="1" applyFill="1" applyAlignment="1">
      <alignment horizontal="center"/>
    </xf>
    <xf numFmtId="168" fontId="0" fillId="0" borderId="0" xfId="3" applyNumberFormat="1" applyFont="1"/>
    <xf numFmtId="0" fontId="3" fillId="5" borderId="0" xfId="0" applyFont="1" applyFill="1" applyAlignment="1">
      <alignment horizontal="center"/>
    </xf>
    <xf numFmtId="0" fontId="6" fillId="0" borderId="0" xfId="0" applyFont="1"/>
    <xf numFmtId="166" fontId="0" fillId="4" borderId="0" xfId="0" applyNumberFormat="1" applyFill="1" applyAlignment="1">
      <alignment horizontal="center"/>
    </xf>
    <xf numFmtId="0" fontId="7" fillId="0" borderId="0" xfId="0" applyFont="1"/>
    <xf numFmtId="166" fontId="0" fillId="3" borderId="0" xfId="0" applyNumberFormat="1" applyFill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165" fontId="0" fillId="2" borderId="0" xfId="0" applyNumberFormat="1" applyFill="1" applyAlignment="1">
      <alignment horizontal="center"/>
    </xf>
    <xf numFmtId="43" fontId="5" fillId="0" borderId="0" xfId="1" applyFont="1"/>
    <xf numFmtId="43" fontId="5" fillId="0" borderId="0" xfId="1" applyFont="1" applyAlignment="1">
      <alignment horizontal="center"/>
    </xf>
    <xf numFmtId="43" fontId="5" fillId="0" borderId="0" xfId="1" applyFont="1" applyAlignment="1"/>
    <xf numFmtId="166" fontId="0" fillId="0" borderId="0" xfId="0" applyNumberFormat="1" applyAlignment="1">
      <alignment horizontal="center"/>
    </xf>
    <xf numFmtId="43" fontId="5" fillId="0" borderId="0" xfId="1" applyFont="1" applyFill="1" applyAlignment="1"/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0" fillId="2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uardo della Maggiora" id="{346AA725-3A16-D149-B7A6-C13779EA96C4}" userId="ef62fbbd22ed2a2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3" dT="2025-03-07T12:26:29.24" personId="{346AA725-3A16-D149-B7A6-C13779EA96C4}" id="{09058341-D1A3-8C4F-ACCF-C49D0A42819F}">
    <text>Post Kona</text>
  </threadedComment>
  <threadedComment ref="AS3" dT="2025-03-07T12:26:15.65" personId="{346AA725-3A16-D149-B7A6-C13779EA96C4}" id="{83CA7181-B2F3-5B45-9F91-7945D2554445}">
    <text>Post Kona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315B-CEE8-E64E-BC5F-2BD7C756FF1A}">
  <dimension ref="B1:AT68"/>
  <sheetViews>
    <sheetView tabSelected="1" workbookViewId="0">
      <selection activeCell="X58" sqref="X58"/>
    </sheetView>
  </sheetViews>
  <sheetFormatPr baseColWidth="10" defaultRowHeight="16"/>
  <cols>
    <col min="1" max="1" width="4.5" customWidth="1"/>
    <col min="2" max="2" width="34.1640625" customWidth="1"/>
    <col min="4" max="4" width="6" customWidth="1"/>
    <col min="5" max="5" width="11.6640625" customWidth="1"/>
    <col min="6" max="6" width="6" customWidth="1"/>
    <col min="7" max="7" width="11.33203125" customWidth="1"/>
    <col min="8" max="8" width="6.1640625" customWidth="1"/>
    <col min="9" max="9" width="11.1640625" customWidth="1"/>
    <col min="10" max="10" width="5.1640625" customWidth="1"/>
    <col min="11" max="11" width="11.6640625" customWidth="1"/>
    <col min="12" max="12" width="5.1640625" customWidth="1"/>
    <col min="13" max="13" width="11.33203125" customWidth="1"/>
    <col min="14" max="14" width="4.6640625" customWidth="1"/>
    <col min="15" max="15" width="11.33203125" customWidth="1"/>
    <col min="16" max="16" width="4.5" customWidth="1"/>
    <col min="17" max="17" width="11.33203125" customWidth="1"/>
    <col min="18" max="18" width="4.33203125" customWidth="1"/>
    <col min="19" max="19" width="12.6640625" customWidth="1"/>
    <col min="20" max="20" width="5.6640625" customWidth="1"/>
    <col min="21" max="21" width="12.6640625" customWidth="1"/>
    <col min="22" max="22" width="4.6640625" customWidth="1"/>
    <col min="23" max="23" width="13.33203125" customWidth="1"/>
    <col min="24" max="24" width="4.1640625" customWidth="1"/>
    <col min="25" max="25" width="13.6640625" customWidth="1"/>
    <col min="26" max="26" width="6.5" customWidth="1"/>
    <col min="27" max="27" width="15.1640625" customWidth="1"/>
    <col min="28" max="28" width="5.5" customWidth="1"/>
    <col min="29" max="29" width="14.1640625" bestFit="1" customWidth="1"/>
    <col min="30" max="30" width="6.6640625" customWidth="1"/>
    <col min="31" max="31" width="14.1640625" customWidth="1"/>
    <col min="32" max="32" width="5.6640625" customWidth="1"/>
    <col min="33" max="33" width="14.1640625" customWidth="1"/>
    <col min="34" max="34" width="5.33203125" customWidth="1"/>
    <col min="35" max="35" width="13.5" customWidth="1"/>
    <col min="36" max="36" width="5.33203125" customWidth="1"/>
    <col min="37" max="37" width="13" bestFit="1" customWidth="1"/>
    <col min="38" max="38" width="5.33203125" customWidth="1"/>
    <col min="40" max="40" width="5.1640625" customWidth="1"/>
    <col min="42" max="42" width="4.5" customWidth="1"/>
    <col min="44" max="44" width="4.5" customWidth="1"/>
  </cols>
  <sheetData>
    <row r="1" spans="2:46" ht="17" thickBot="1"/>
    <row r="2" spans="2:46">
      <c r="C2" s="36" t="s">
        <v>7</v>
      </c>
      <c r="E2" s="3" t="s">
        <v>29</v>
      </c>
      <c r="G2" s="3" t="s">
        <v>78</v>
      </c>
      <c r="H2" s="3"/>
      <c r="I2" s="3" t="s">
        <v>57</v>
      </c>
      <c r="K2" s="3" t="s">
        <v>64</v>
      </c>
      <c r="M2" s="3" t="s">
        <v>63</v>
      </c>
      <c r="N2" s="3"/>
      <c r="O2" s="3" t="s">
        <v>29</v>
      </c>
      <c r="P2" s="3"/>
      <c r="Q2" s="3" t="s">
        <v>55</v>
      </c>
      <c r="S2" s="3" t="s">
        <v>2</v>
      </c>
      <c r="U2" t="s">
        <v>31</v>
      </c>
      <c r="W2" s="3" t="s">
        <v>29</v>
      </c>
      <c r="Y2" s="3" t="s">
        <v>0</v>
      </c>
      <c r="AA2" s="3" t="s">
        <v>1</v>
      </c>
      <c r="AC2" s="3" t="s">
        <v>0</v>
      </c>
      <c r="AE2" s="3" t="s">
        <v>29</v>
      </c>
      <c r="AG2" s="3" t="s">
        <v>2</v>
      </c>
      <c r="AI2" s="3" t="s">
        <v>3</v>
      </c>
      <c r="AK2" s="3" t="s">
        <v>3</v>
      </c>
      <c r="AL2" s="3"/>
      <c r="AM2" s="3" t="s">
        <v>3</v>
      </c>
      <c r="AN2" s="3"/>
      <c r="AO2" s="3" t="s">
        <v>3</v>
      </c>
      <c r="AP2" s="3"/>
      <c r="AQ2" s="3" t="s">
        <v>3</v>
      </c>
      <c r="AS2" s="40" t="s">
        <v>49</v>
      </c>
      <c r="AT2" s="41"/>
    </row>
    <row r="3" spans="2:46">
      <c r="C3" s="32"/>
      <c r="E3" s="38">
        <v>45904</v>
      </c>
      <c r="F3" s="38"/>
      <c r="G3" s="38">
        <v>45890</v>
      </c>
      <c r="H3" s="38"/>
      <c r="I3" s="38">
        <v>45860</v>
      </c>
      <c r="J3" s="38"/>
      <c r="K3" s="38">
        <v>45840</v>
      </c>
      <c r="L3" s="38"/>
      <c r="M3" s="38">
        <v>45840</v>
      </c>
      <c r="N3" s="38"/>
      <c r="O3" s="38">
        <v>45837</v>
      </c>
      <c r="P3" s="38"/>
      <c r="Q3" s="38">
        <v>45778</v>
      </c>
      <c r="R3" s="38"/>
      <c r="S3" s="38">
        <v>45763</v>
      </c>
      <c r="T3" s="38"/>
      <c r="U3" s="38">
        <v>45738</v>
      </c>
      <c r="V3" s="38"/>
      <c r="W3" s="38">
        <v>45731</v>
      </c>
      <c r="X3" s="39"/>
      <c r="Y3" s="38">
        <v>45721</v>
      </c>
      <c r="Z3" s="39"/>
      <c r="AA3" s="38">
        <v>45657</v>
      </c>
      <c r="AB3" s="39"/>
      <c r="AC3" s="38">
        <v>45657</v>
      </c>
      <c r="AD3" s="39"/>
      <c r="AE3" s="38">
        <v>45652</v>
      </c>
      <c r="AF3" s="39"/>
      <c r="AG3" s="38">
        <v>45600</v>
      </c>
      <c r="AH3" s="39"/>
      <c r="AI3" s="38">
        <v>45534</v>
      </c>
      <c r="AJ3" s="39"/>
      <c r="AK3" s="38">
        <v>45421</v>
      </c>
      <c r="AL3" s="38"/>
      <c r="AM3" s="38">
        <v>45272</v>
      </c>
      <c r="AN3" s="38"/>
      <c r="AO3" s="38">
        <v>45135</v>
      </c>
      <c r="AP3" s="38"/>
      <c r="AQ3" s="38">
        <v>44894</v>
      </c>
      <c r="AR3" s="39"/>
      <c r="AS3" s="38">
        <v>43028</v>
      </c>
      <c r="AT3" s="38">
        <v>42908</v>
      </c>
    </row>
    <row r="4" spans="2:46">
      <c r="B4" s="1" t="s">
        <v>16</v>
      </c>
      <c r="C4" s="33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Z4" s="1"/>
    </row>
    <row r="5" spans="2:46">
      <c r="B5" t="s">
        <v>4</v>
      </c>
      <c r="C5" s="34" t="s">
        <v>54</v>
      </c>
      <c r="E5" s="6">
        <v>104</v>
      </c>
      <c r="G5" s="4">
        <v>89</v>
      </c>
      <c r="I5" s="6">
        <v>108</v>
      </c>
      <c r="K5" s="4">
        <v>91</v>
      </c>
      <c r="M5" s="4">
        <v>95</v>
      </c>
      <c r="N5" s="3"/>
      <c r="O5" s="4">
        <v>76</v>
      </c>
      <c r="P5" s="3"/>
      <c r="Q5" s="6">
        <v>109</v>
      </c>
      <c r="S5" s="4">
        <v>88</v>
      </c>
      <c r="U5" s="4">
        <v>77</v>
      </c>
      <c r="W5" s="4">
        <v>77</v>
      </c>
      <c r="Y5" s="6">
        <v>100</v>
      </c>
      <c r="AA5" s="6">
        <v>107</v>
      </c>
      <c r="AC5" s="5">
        <v>93</v>
      </c>
      <c r="AE5" s="5">
        <v>93</v>
      </c>
      <c r="AG5" s="6">
        <v>101</v>
      </c>
      <c r="AI5" s="4">
        <v>77</v>
      </c>
      <c r="AK5" s="4">
        <v>68</v>
      </c>
      <c r="AL5" s="3"/>
      <c r="AM5" s="6">
        <v>117</v>
      </c>
      <c r="AN5" s="3"/>
      <c r="AO5" s="4">
        <v>81</v>
      </c>
      <c r="AP5" s="3"/>
      <c r="AQ5" s="6">
        <v>90</v>
      </c>
      <c r="AS5" s="5">
        <v>97</v>
      </c>
      <c r="AT5" s="6">
        <v>106</v>
      </c>
    </row>
    <row r="6" spans="2:46">
      <c r="B6" t="s">
        <v>5</v>
      </c>
      <c r="C6" s="34" t="s">
        <v>10</v>
      </c>
      <c r="E6" s="4">
        <v>48</v>
      </c>
      <c r="G6" s="4">
        <v>42</v>
      </c>
      <c r="I6" s="4">
        <v>37</v>
      </c>
      <c r="K6" s="4">
        <v>85</v>
      </c>
      <c r="M6" s="5">
        <v>98</v>
      </c>
      <c r="N6" s="3"/>
      <c r="O6" s="4">
        <v>64</v>
      </c>
      <c r="P6" s="3"/>
      <c r="Q6" s="4">
        <v>40</v>
      </c>
      <c r="S6" s="4">
        <v>42</v>
      </c>
      <c r="U6" s="4">
        <v>45</v>
      </c>
      <c r="W6" s="4">
        <v>57</v>
      </c>
      <c r="Y6" s="4">
        <v>53</v>
      </c>
      <c r="AA6" s="4">
        <v>53</v>
      </c>
      <c r="AC6" s="4">
        <v>53</v>
      </c>
      <c r="AE6" s="4">
        <v>41</v>
      </c>
      <c r="AG6" s="6">
        <v>130</v>
      </c>
      <c r="AI6" s="4">
        <v>74</v>
      </c>
      <c r="AK6" s="4">
        <v>45</v>
      </c>
      <c r="AL6" s="3"/>
      <c r="AM6" s="4">
        <v>53</v>
      </c>
      <c r="AN6" s="3"/>
      <c r="AO6" s="4">
        <v>66</v>
      </c>
      <c r="AP6" s="3"/>
      <c r="AQ6" s="4">
        <v>58</v>
      </c>
      <c r="AS6" s="3"/>
      <c r="AT6" s="3"/>
    </row>
    <row r="7" spans="2:46">
      <c r="B7" t="s">
        <v>6</v>
      </c>
      <c r="C7" s="34" t="s">
        <v>18</v>
      </c>
      <c r="E7" s="4">
        <v>81</v>
      </c>
      <c r="G7" s="4">
        <v>96</v>
      </c>
      <c r="I7" s="4">
        <v>89</v>
      </c>
      <c r="K7" s="4">
        <v>88</v>
      </c>
      <c r="M7" s="4">
        <v>93</v>
      </c>
      <c r="N7" s="3"/>
      <c r="O7" s="4">
        <v>85</v>
      </c>
      <c r="P7" s="3"/>
      <c r="Q7" s="4">
        <v>95</v>
      </c>
      <c r="S7" s="4">
        <v>76</v>
      </c>
      <c r="U7" s="4">
        <v>81</v>
      </c>
      <c r="W7" s="4">
        <v>77</v>
      </c>
      <c r="Y7" s="4">
        <v>71</v>
      </c>
      <c r="AA7" s="4">
        <v>86</v>
      </c>
      <c r="AC7" s="4">
        <v>73</v>
      </c>
      <c r="AE7" s="4">
        <v>80</v>
      </c>
      <c r="AG7" s="7">
        <v>74</v>
      </c>
      <c r="AI7" s="4">
        <v>88</v>
      </c>
      <c r="AK7" s="4">
        <v>89</v>
      </c>
      <c r="AL7" s="3"/>
      <c r="AM7" s="4">
        <v>88</v>
      </c>
      <c r="AN7" s="3"/>
      <c r="AO7" s="4">
        <v>87</v>
      </c>
      <c r="AP7" s="3"/>
      <c r="AQ7" s="4">
        <v>72</v>
      </c>
      <c r="AS7" s="3"/>
      <c r="AT7" s="3"/>
    </row>
    <row r="8" spans="2:46">
      <c r="B8" t="s">
        <v>12</v>
      </c>
      <c r="C8" s="34" t="s">
        <v>13</v>
      </c>
      <c r="E8" s="7">
        <f>+E6/E7</f>
        <v>0.59259259259259256</v>
      </c>
      <c r="G8" s="7">
        <f>+G6/G7</f>
        <v>0.4375</v>
      </c>
      <c r="I8" s="7">
        <f>+I6/I7</f>
        <v>0.4157303370786517</v>
      </c>
      <c r="K8" s="7">
        <f>+K6/K7</f>
        <v>0.96590909090909094</v>
      </c>
      <c r="M8" s="22">
        <f>+M6/M7</f>
        <v>1.053763440860215</v>
      </c>
      <c r="N8" s="29"/>
      <c r="O8" s="7">
        <f>+O6/O7</f>
        <v>0.75294117647058822</v>
      </c>
      <c r="P8" s="29"/>
      <c r="Q8" s="7">
        <f>+Q6/Q7</f>
        <v>0.42105263157894735</v>
      </c>
      <c r="S8" s="7">
        <f>+S6/S7</f>
        <v>0.55263157894736847</v>
      </c>
      <c r="U8" s="7">
        <f>+U6/U7</f>
        <v>0.55555555555555558</v>
      </c>
      <c r="W8" s="7">
        <f>+W6/W7</f>
        <v>0.74025974025974028</v>
      </c>
      <c r="Y8" s="7">
        <f>+Y6/Y7</f>
        <v>0.74647887323943662</v>
      </c>
      <c r="AA8" s="7">
        <f>+AA6/AA7</f>
        <v>0.61627906976744184</v>
      </c>
      <c r="AC8" s="7">
        <f>+AC6/AC7</f>
        <v>0.72602739726027399</v>
      </c>
      <c r="AE8" s="7">
        <f>+AE6/AE7</f>
        <v>0.51249999999999996</v>
      </c>
      <c r="AG8" s="10">
        <f>+AG6/AG7</f>
        <v>1.7567567567567568</v>
      </c>
      <c r="AI8" s="7">
        <f>+AI6/AI7</f>
        <v>0.84090909090909094</v>
      </c>
      <c r="AK8" s="7">
        <f>+AK6/AK7</f>
        <v>0.5056179775280899</v>
      </c>
      <c r="AL8" s="8"/>
      <c r="AM8" s="7">
        <f>+AM6/AM7</f>
        <v>0.60227272727272729</v>
      </c>
      <c r="AN8" s="8"/>
      <c r="AO8" s="7">
        <f>+AO6/AO7</f>
        <v>0.75862068965517238</v>
      </c>
      <c r="AP8" s="8"/>
      <c r="AQ8" s="7">
        <f>+AQ6/AQ7</f>
        <v>0.80555555555555558</v>
      </c>
      <c r="AS8" s="8"/>
      <c r="AT8" s="8"/>
    </row>
    <row r="9" spans="2:46">
      <c r="B9" t="s">
        <v>11</v>
      </c>
      <c r="C9" s="34" t="s">
        <v>8</v>
      </c>
      <c r="E9" s="4">
        <v>32</v>
      </c>
      <c r="G9" s="4">
        <v>32</v>
      </c>
      <c r="I9" s="4">
        <v>32</v>
      </c>
      <c r="K9" s="4">
        <v>32</v>
      </c>
      <c r="M9" s="4">
        <v>32</v>
      </c>
      <c r="N9" s="3"/>
      <c r="O9" s="4">
        <v>32</v>
      </c>
      <c r="P9" s="3"/>
      <c r="Q9" s="4">
        <v>32</v>
      </c>
      <c r="S9" s="4">
        <v>32</v>
      </c>
      <c r="U9" s="4">
        <v>32</v>
      </c>
      <c r="W9" s="4">
        <v>32</v>
      </c>
      <c r="Y9" s="4">
        <v>32</v>
      </c>
      <c r="AA9" s="4">
        <v>32</v>
      </c>
      <c r="AC9" s="4">
        <v>32</v>
      </c>
      <c r="AE9" s="4">
        <f>+AC9</f>
        <v>32</v>
      </c>
      <c r="AG9" s="4">
        <f>+AC9</f>
        <v>32</v>
      </c>
      <c r="AI9" s="4">
        <f>+AG9</f>
        <v>32</v>
      </c>
      <c r="AK9" s="4" t="str">
        <f>+C9</f>
        <v>&lt;35</v>
      </c>
      <c r="AL9" s="3"/>
      <c r="AM9" s="4" t="str">
        <f>+AK9</f>
        <v>&lt;35</v>
      </c>
      <c r="AN9" s="3"/>
      <c r="AO9" s="4" t="str">
        <f>+AM9</f>
        <v>&lt;35</v>
      </c>
      <c r="AP9" s="3"/>
      <c r="AQ9" s="4" t="str">
        <f t="shared" ref="AQ9" si="0">+AO9</f>
        <v>&lt;35</v>
      </c>
      <c r="AS9" s="3"/>
      <c r="AT9" s="3"/>
    </row>
    <row r="10" spans="2:46">
      <c r="B10" t="s">
        <v>9</v>
      </c>
      <c r="C10" s="34" t="s">
        <v>14</v>
      </c>
      <c r="E10" s="4" t="s">
        <v>14</v>
      </c>
      <c r="G10" s="4" t="s">
        <v>14</v>
      </c>
      <c r="I10" s="6" t="s">
        <v>84</v>
      </c>
      <c r="K10" s="4" t="s">
        <v>14</v>
      </c>
      <c r="M10" s="4" t="s">
        <v>14</v>
      </c>
      <c r="N10" s="3"/>
      <c r="O10" s="4" t="s">
        <v>14</v>
      </c>
      <c r="P10" s="3"/>
      <c r="Q10" s="4" t="s">
        <v>14</v>
      </c>
      <c r="S10" s="4" t="s">
        <v>14</v>
      </c>
      <c r="U10" s="4" t="s">
        <v>14</v>
      </c>
      <c r="W10" s="4" t="s">
        <v>14</v>
      </c>
      <c r="Y10" s="4" t="s">
        <v>14</v>
      </c>
      <c r="AA10" s="4" t="s">
        <v>14</v>
      </c>
      <c r="AC10" s="4" t="s">
        <v>14</v>
      </c>
      <c r="AE10" s="4" t="str">
        <f>+AC10</f>
        <v>120 / 80</v>
      </c>
      <c r="AG10" s="4" t="str">
        <f>+AC10</f>
        <v>120 / 80</v>
      </c>
      <c r="AI10" s="4" t="str">
        <f>+AG10</f>
        <v>120 / 80</v>
      </c>
      <c r="AK10" s="4" t="str">
        <f>+C10</f>
        <v>120 / 80</v>
      </c>
      <c r="AL10" s="3"/>
      <c r="AM10" s="4" t="str">
        <f>+AK10</f>
        <v>120 / 80</v>
      </c>
      <c r="AN10" s="3"/>
      <c r="AO10" s="4" t="str">
        <f>+AM10</f>
        <v>120 / 80</v>
      </c>
      <c r="AP10" s="3"/>
      <c r="AQ10" s="4" t="str">
        <f t="shared" ref="AQ10" si="1">+AO10</f>
        <v>120 / 80</v>
      </c>
      <c r="AS10" s="3"/>
      <c r="AT10" s="3"/>
    </row>
    <row r="11" spans="2:46">
      <c r="C11" s="32"/>
      <c r="I11" s="27">
        <f>+I7/I6</f>
        <v>2.4054054054054053</v>
      </c>
      <c r="J11" s="15"/>
      <c r="K11" s="28">
        <f>+K7/K6</f>
        <v>1.0352941176470589</v>
      </c>
      <c r="L11" s="28"/>
      <c r="M11" s="28">
        <f>+M7/M6</f>
        <v>0.94897959183673475</v>
      </c>
      <c r="N11" s="30"/>
      <c r="O11" s="28">
        <f>+O7/O6</f>
        <v>1.328125</v>
      </c>
      <c r="P11" s="30"/>
      <c r="Q11" s="28">
        <f>+Q7/Q6</f>
        <v>2.375</v>
      </c>
      <c r="R11" s="28"/>
      <c r="S11" s="28">
        <f>+S7/S6</f>
        <v>1.8095238095238095</v>
      </c>
      <c r="T11" s="28"/>
      <c r="U11" s="28">
        <f>+U7/U6</f>
        <v>1.8</v>
      </c>
      <c r="V11" s="28"/>
      <c r="W11" s="28">
        <f>+W7/W6</f>
        <v>1.3508771929824561</v>
      </c>
      <c r="X11" s="28"/>
      <c r="Y11" s="28">
        <f>+Y7/Y6</f>
        <v>1.3396226415094339</v>
      </c>
      <c r="Z11" s="24"/>
      <c r="AA11" s="26">
        <f>+AA7/AA6</f>
        <v>1.6226415094339623</v>
      </c>
      <c r="AB11" s="26"/>
      <c r="AC11" s="26">
        <f>+AC7/AC6</f>
        <v>1.3773584905660377</v>
      </c>
      <c r="AD11" s="24"/>
      <c r="AE11" s="26">
        <f>+AE7/AE6</f>
        <v>1.9512195121951219</v>
      </c>
      <c r="AF11" s="15"/>
      <c r="AG11" s="26">
        <f>+AG7/AG6</f>
        <v>0.56923076923076921</v>
      </c>
      <c r="AH11" s="15"/>
      <c r="AI11" s="26">
        <f>+AI7/AI6</f>
        <v>1.1891891891891893</v>
      </c>
      <c r="AJ11" s="15"/>
      <c r="AK11" s="26">
        <f>+AK7/AK6</f>
        <v>1.9777777777777779</v>
      </c>
      <c r="AL11" s="15"/>
      <c r="AM11" s="26">
        <f>+AM7/AM6</f>
        <v>1.6603773584905661</v>
      </c>
      <c r="AN11" s="15"/>
      <c r="AO11" s="26">
        <f>+AO7/AO6</f>
        <v>1.3181818181818181</v>
      </c>
      <c r="AP11" s="15"/>
      <c r="AQ11" s="26">
        <f>+AQ7/AQ6</f>
        <v>1.2413793103448276</v>
      </c>
    </row>
    <row r="12" spans="2:46">
      <c r="B12" s="1" t="s">
        <v>77</v>
      </c>
      <c r="C12" s="3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"/>
      <c r="Z12" s="1"/>
      <c r="AA12" s="3"/>
      <c r="AC12" s="3"/>
    </row>
    <row r="13" spans="2:46">
      <c r="B13" t="s">
        <v>25</v>
      </c>
      <c r="C13" s="34" t="s">
        <v>26</v>
      </c>
      <c r="E13" s="9">
        <v>3.1</v>
      </c>
      <c r="G13" s="9">
        <v>2.6</v>
      </c>
      <c r="I13" s="9">
        <v>2.2000000000000002</v>
      </c>
      <c r="K13" s="9">
        <v>2.2999999999999998</v>
      </c>
      <c r="M13" s="6">
        <v>5.6</v>
      </c>
      <c r="N13" s="3"/>
      <c r="O13" s="9">
        <v>3.1</v>
      </c>
      <c r="P13" s="3"/>
      <c r="Q13" s="6">
        <v>1.8</v>
      </c>
      <c r="S13" s="6">
        <v>1.9</v>
      </c>
      <c r="W13" s="9">
        <v>2.2000000000000002</v>
      </c>
      <c r="Y13" s="9">
        <v>3</v>
      </c>
      <c r="AA13" s="9">
        <v>4.5</v>
      </c>
      <c r="AC13" s="9">
        <v>3</v>
      </c>
      <c r="AE13" s="6">
        <v>60.2</v>
      </c>
      <c r="AG13" s="4">
        <v>4.3</v>
      </c>
      <c r="AI13" s="4">
        <v>2.9</v>
      </c>
      <c r="AK13" s="4">
        <v>1.9</v>
      </c>
      <c r="AL13" s="3"/>
      <c r="AM13" s="4">
        <v>2.7</v>
      </c>
      <c r="AN13" s="3"/>
      <c r="AO13" s="4">
        <v>1.7</v>
      </c>
      <c r="AP13" s="3"/>
      <c r="AQ13" s="3" t="s">
        <v>35</v>
      </c>
      <c r="AS13" s="3"/>
      <c r="AT13" s="3"/>
    </row>
    <row r="14" spans="2:46">
      <c r="B14" t="s">
        <v>28</v>
      </c>
      <c r="C14" s="34" t="s">
        <v>13</v>
      </c>
      <c r="E14" s="7">
        <f>+E13*E5/405</f>
        <v>0.79604938271604941</v>
      </c>
      <c r="G14" s="7">
        <f>+G13*G5/405</f>
        <v>0.57135802469135799</v>
      </c>
      <c r="I14" s="7">
        <f>+I13*I5/405</f>
        <v>0.58666666666666667</v>
      </c>
      <c r="K14" s="7">
        <f>+K13*K5/405</f>
        <v>0.5167901234567901</v>
      </c>
      <c r="M14" s="7">
        <f>+M13*M5/405</f>
        <v>1.3135802469135802</v>
      </c>
      <c r="N14" s="8"/>
      <c r="O14" s="7">
        <f>+O13*O5/405</f>
        <v>0.58172839506172835</v>
      </c>
      <c r="P14" s="8"/>
      <c r="Q14" s="7">
        <f>+Q13*Q5/405</f>
        <v>0.48444444444444451</v>
      </c>
      <c r="S14" s="7">
        <f>+S13*S5/405</f>
        <v>0.41283950617283949</v>
      </c>
      <c r="W14" s="7">
        <f>+W13*W5/405</f>
        <v>0.41827160493827165</v>
      </c>
      <c r="Y14" s="7">
        <f>+Y13*Y5/405</f>
        <v>0.7407407407407407</v>
      </c>
      <c r="AA14" s="7">
        <f>+AA13*AA5/405</f>
        <v>1.1888888888888889</v>
      </c>
      <c r="AC14" s="7">
        <f>+AC13*AC5/405</f>
        <v>0.68888888888888888</v>
      </c>
      <c r="AE14" s="10">
        <f>+AE13*AE5/405</f>
        <v>13.823703703703705</v>
      </c>
      <c r="AF14" s="8"/>
      <c r="AG14" s="10">
        <f>+AG13*AG5/405</f>
        <v>1.0723456790123456</v>
      </c>
      <c r="AI14" s="7">
        <f>+AI13*AI5/405</f>
        <v>0.55135802469135797</v>
      </c>
      <c r="AS14" s="8"/>
      <c r="AT14" s="8"/>
    </row>
    <row r="15" spans="2:46">
      <c r="B15" t="s">
        <v>17</v>
      </c>
      <c r="C15" s="34" t="s">
        <v>81</v>
      </c>
      <c r="E15" s="25">
        <v>5.5E-2</v>
      </c>
      <c r="G15" s="25">
        <v>5.6000000000000001E-2</v>
      </c>
      <c r="I15" s="25">
        <v>5.6000000000000001E-2</v>
      </c>
      <c r="K15" s="25">
        <v>5.6000000000000001E-2</v>
      </c>
      <c r="M15" s="25">
        <v>5.6000000000000001E-2</v>
      </c>
      <c r="N15" s="31"/>
      <c r="O15" s="25">
        <v>5.6000000000000001E-2</v>
      </c>
      <c r="P15" s="31"/>
      <c r="Q15" s="25">
        <v>5.5E-2</v>
      </c>
      <c r="S15" s="25">
        <v>5.5E-2</v>
      </c>
      <c r="U15" s="25">
        <v>5.6000000000000001E-2</v>
      </c>
      <c r="W15" s="25">
        <v>5.3999999999999999E-2</v>
      </c>
      <c r="Y15" s="25">
        <v>5.2999999999999999E-2</v>
      </c>
      <c r="AA15" s="25">
        <v>5.2999999999999999E-2</v>
      </c>
      <c r="AC15" s="25">
        <v>5.5E-2</v>
      </c>
      <c r="AE15" s="25">
        <v>5.5E-2</v>
      </c>
      <c r="AG15" s="13">
        <v>5.7000000000000002E-2</v>
      </c>
      <c r="AI15" s="25">
        <v>5.5E-2</v>
      </c>
      <c r="AK15" s="13">
        <v>5.5E-2</v>
      </c>
      <c r="AL15" s="14"/>
      <c r="AM15" s="13">
        <v>5.6000000000000001E-2</v>
      </c>
      <c r="AN15" s="14"/>
      <c r="AO15" s="16">
        <v>4.9000000000000002E-2</v>
      </c>
      <c r="AP15" s="14"/>
      <c r="AQ15" s="16">
        <v>5.1999999999999998E-2</v>
      </c>
      <c r="AS15" s="14"/>
      <c r="AT15" s="14"/>
    </row>
    <row r="16" spans="2:46">
      <c r="C16" s="32"/>
      <c r="M16" s="14"/>
      <c r="N16" s="14"/>
      <c r="O16" s="14"/>
      <c r="P16" s="14"/>
      <c r="S16" s="14"/>
      <c r="U16" s="14"/>
      <c r="W16" s="14"/>
      <c r="Y16" s="14"/>
      <c r="AA16" s="14"/>
      <c r="AC16" s="14"/>
      <c r="AE16" s="14"/>
      <c r="AG16" s="14"/>
      <c r="AI16" s="14"/>
      <c r="AK16" s="14"/>
      <c r="AL16" s="14"/>
      <c r="AM16" s="14"/>
      <c r="AN16" s="14"/>
      <c r="AO16" s="14"/>
      <c r="AP16" s="14"/>
      <c r="AQ16" s="14"/>
      <c r="AS16" s="14"/>
      <c r="AT16" s="14"/>
    </row>
    <row r="17" spans="2:46">
      <c r="B17" s="1" t="s">
        <v>71</v>
      </c>
      <c r="C17" s="34"/>
      <c r="D17" s="1"/>
      <c r="E17" s="1"/>
      <c r="F17" s="1"/>
      <c r="G17" s="1"/>
      <c r="H17" s="1"/>
      <c r="I17" s="1"/>
      <c r="J17" s="1"/>
      <c r="M17" s="13"/>
      <c r="N17" s="14"/>
      <c r="O17" s="13"/>
      <c r="P17" s="14"/>
      <c r="Q17" s="1"/>
      <c r="S17" s="13"/>
      <c r="U17" s="13"/>
      <c r="W17" s="13"/>
      <c r="Y17" s="13"/>
      <c r="AA17" s="13"/>
      <c r="AC17" s="13"/>
      <c r="AE17" s="13"/>
      <c r="AG17" s="13"/>
      <c r="AI17" s="13"/>
      <c r="AK17" s="13"/>
      <c r="AL17" s="14"/>
      <c r="AM17" s="13"/>
      <c r="AN17" s="14"/>
      <c r="AO17" s="16"/>
      <c r="AP17" s="14"/>
      <c r="AQ17" s="16"/>
      <c r="AS17" s="14"/>
      <c r="AT17" s="14"/>
    </row>
    <row r="18" spans="2:46">
      <c r="B18" s="12" t="s">
        <v>21</v>
      </c>
      <c r="C18" s="34" t="s">
        <v>88</v>
      </c>
      <c r="D18" s="12"/>
      <c r="E18" s="4">
        <v>20</v>
      </c>
      <c r="F18" s="12"/>
      <c r="G18" s="4">
        <v>21</v>
      </c>
      <c r="H18" s="12"/>
      <c r="I18" s="4">
        <v>38</v>
      </c>
      <c r="J18" s="12"/>
      <c r="K18" s="4">
        <v>19</v>
      </c>
      <c r="L18" s="12"/>
      <c r="M18" s="4">
        <v>27</v>
      </c>
      <c r="N18" s="3"/>
      <c r="O18" s="4">
        <v>23</v>
      </c>
      <c r="P18" s="3"/>
      <c r="Q18" s="4">
        <v>24</v>
      </c>
      <c r="R18" s="12"/>
      <c r="S18" s="4">
        <v>26</v>
      </c>
      <c r="T18" s="12"/>
      <c r="U18" s="4">
        <v>26</v>
      </c>
      <c r="W18" s="4">
        <v>27</v>
      </c>
      <c r="Y18" s="4">
        <v>23</v>
      </c>
      <c r="AA18" s="4">
        <v>22</v>
      </c>
      <c r="AC18" s="4">
        <v>27</v>
      </c>
      <c r="AE18" s="4">
        <v>23</v>
      </c>
      <c r="AG18" s="4">
        <v>25</v>
      </c>
      <c r="AI18" s="4">
        <v>21</v>
      </c>
      <c r="AK18" s="4">
        <v>18</v>
      </c>
      <c r="AL18" s="3"/>
      <c r="AM18" s="6">
        <v>41</v>
      </c>
      <c r="AN18" s="3"/>
      <c r="AO18" s="5">
        <v>24</v>
      </c>
      <c r="AP18" s="3"/>
      <c r="AQ18" s="4">
        <v>18</v>
      </c>
      <c r="AS18" s="3">
        <v>23</v>
      </c>
      <c r="AT18" s="3">
        <v>26</v>
      </c>
    </row>
    <row r="19" spans="2:46">
      <c r="B19" s="12" t="s">
        <v>22</v>
      </c>
      <c r="C19" s="34" t="s">
        <v>52</v>
      </c>
      <c r="D19" s="12"/>
      <c r="E19" s="4">
        <v>17</v>
      </c>
      <c r="F19" s="12"/>
      <c r="G19" s="4">
        <v>18</v>
      </c>
      <c r="H19" s="12"/>
      <c r="I19" s="4">
        <v>22</v>
      </c>
      <c r="J19" s="12"/>
      <c r="K19" s="4">
        <v>15</v>
      </c>
      <c r="L19" s="12"/>
      <c r="M19" s="4">
        <v>17</v>
      </c>
      <c r="N19" s="3"/>
      <c r="O19" s="4">
        <v>21</v>
      </c>
      <c r="P19" s="3"/>
      <c r="Q19" s="4">
        <v>19</v>
      </c>
      <c r="R19" s="12"/>
      <c r="S19" s="4">
        <v>21</v>
      </c>
      <c r="T19" s="12"/>
      <c r="U19" s="4">
        <v>22</v>
      </c>
      <c r="V19" s="12"/>
      <c r="W19" s="4">
        <v>19</v>
      </c>
      <c r="Y19" s="4">
        <v>23</v>
      </c>
      <c r="AA19" s="4">
        <v>18</v>
      </c>
      <c r="AC19" s="4">
        <v>24</v>
      </c>
      <c r="AE19" s="4">
        <v>18</v>
      </c>
      <c r="AG19" s="6">
        <v>48</v>
      </c>
      <c r="AI19" s="4">
        <v>24</v>
      </c>
      <c r="AK19" s="4">
        <v>25</v>
      </c>
      <c r="AL19" s="3"/>
      <c r="AM19" s="4">
        <v>32</v>
      </c>
      <c r="AN19" s="3"/>
      <c r="AO19" s="4">
        <v>23</v>
      </c>
      <c r="AP19" s="3"/>
      <c r="AQ19" s="4">
        <v>16</v>
      </c>
      <c r="AS19" s="3">
        <v>29</v>
      </c>
      <c r="AT19" s="3">
        <v>23</v>
      </c>
    </row>
    <row r="20" spans="2:46">
      <c r="B20" s="12" t="s">
        <v>23</v>
      </c>
      <c r="C20" s="34" t="s">
        <v>20</v>
      </c>
      <c r="D20" s="12"/>
      <c r="E20" s="3" t="s">
        <v>35</v>
      </c>
      <c r="F20" s="12"/>
      <c r="G20" s="4">
        <v>15</v>
      </c>
      <c r="H20" s="12"/>
      <c r="I20" s="3" t="s">
        <v>35</v>
      </c>
      <c r="J20" s="12"/>
      <c r="K20" s="3" t="s">
        <v>35</v>
      </c>
      <c r="L20" s="12"/>
      <c r="M20" s="4">
        <v>12</v>
      </c>
      <c r="N20" s="3"/>
      <c r="O20" s="3" t="s">
        <v>35</v>
      </c>
      <c r="P20" s="3"/>
      <c r="Q20" s="3" t="s">
        <v>35</v>
      </c>
      <c r="R20" s="12"/>
      <c r="S20" s="4">
        <v>12</v>
      </c>
      <c r="T20" s="12"/>
      <c r="U20" s="4">
        <v>12</v>
      </c>
      <c r="V20" s="12"/>
      <c r="W20" s="3" t="s">
        <v>35</v>
      </c>
      <c r="Y20" s="4">
        <v>12</v>
      </c>
      <c r="AA20" s="4">
        <v>11</v>
      </c>
      <c r="AC20" s="4">
        <v>14</v>
      </c>
      <c r="AE20" s="3" t="s">
        <v>35</v>
      </c>
      <c r="AG20" s="5">
        <v>29</v>
      </c>
      <c r="AI20" s="4">
        <v>18</v>
      </c>
      <c r="AK20" s="4">
        <v>17</v>
      </c>
      <c r="AL20" s="3"/>
      <c r="AM20" s="4">
        <v>15</v>
      </c>
      <c r="AN20" s="3"/>
      <c r="AO20" s="4">
        <v>14</v>
      </c>
      <c r="AP20" s="3"/>
      <c r="AQ20" s="4">
        <v>13</v>
      </c>
      <c r="AS20" s="3" t="s">
        <v>35</v>
      </c>
      <c r="AT20" s="3" t="s">
        <v>35</v>
      </c>
    </row>
    <row r="21" spans="2:46">
      <c r="B21" s="12"/>
      <c r="C21" s="32"/>
      <c r="D21" s="12"/>
      <c r="E21" s="12"/>
      <c r="F21" s="12"/>
      <c r="G21" s="12"/>
      <c r="H21" s="12"/>
      <c r="I21" s="12"/>
      <c r="J21" s="12"/>
      <c r="K21" s="12"/>
      <c r="L21" s="12"/>
      <c r="M21" s="3"/>
      <c r="N21" s="3"/>
      <c r="O21" s="3"/>
      <c r="P21" s="3"/>
      <c r="Q21" s="12"/>
      <c r="R21" s="12"/>
      <c r="S21" s="3"/>
      <c r="T21" s="12"/>
      <c r="U21" s="3"/>
      <c r="V21" s="12"/>
      <c r="W21" s="3"/>
      <c r="Y21" s="3"/>
      <c r="AA21" s="3"/>
      <c r="AC21" s="3"/>
      <c r="AE21" s="3"/>
      <c r="AG21" s="3"/>
      <c r="AI21" s="3"/>
      <c r="AK21" s="3"/>
      <c r="AL21" s="3"/>
      <c r="AM21" s="3"/>
      <c r="AN21" s="3"/>
      <c r="AO21" s="3"/>
      <c r="AP21" s="3"/>
      <c r="AQ21" s="3"/>
      <c r="AS21" s="3"/>
      <c r="AT21" s="3"/>
    </row>
    <row r="22" spans="2:46">
      <c r="B22" s="21" t="s">
        <v>75</v>
      </c>
      <c r="C22" s="32"/>
      <c r="D22" s="21"/>
      <c r="E22" s="21"/>
      <c r="F22" s="21"/>
      <c r="G22" s="21"/>
      <c r="H22" s="21"/>
      <c r="I22" s="21"/>
      <c r="J22" s="21"/>
      <c r="K22" s="12"/>
      <c r="L22" s="12"/>
      <c r="M22" s="3"/>
      <c r="N22" s="3"/>
      <c r="O22" s="3"/>
      <c r="P22" s="3"/>
      <c r="Q22" s="21"/>
      <c r="R22" s="12"/>
      <c r="S22" s="3"/>
      <c r="T22" s="12"/>
      <c r="U22" s="3"/>
      <c r="V22" s="12"/>
      <c r="W22" s="3"/>
      <c r="Y22" s="3"/>
      <c r="AA22" s="3"/>
      <c r="AC22" s="3"/>
      <c r="AE22" s="3"/>
      <c r="AG22" s="3"/>
      <c r="AI22" s="3"/>
      <c r="AK22" s="3"/>
      <c r="AL22" s="3"/>
      <c r="AM22" s="3"/>
      <c r="AN22" s="3"/>
      <c r="AO22" s="3"/>
      <c r="AP22" s="3"/>
      <c r="AQ22" s="3"/>
      <c r="AS22" s="3"/>
      <c r="AT22" s="3"/>
    </row>
    <row r="23" spans="2:46">
      <c r="B23" s="12" t="s">
        <v>24</v>
      </c>
      <c r="C23" s="34" t="s">
        <v>53</v>
      </c>
      <c r="D23" s="12"/>
      <c r="E23" s="4">
        <v>84</v>
      </c>
      <c r="F23" s="12"/>
      <c r="G23" s="4">
        <v>75</v>
      </c>
      <c r="H23" s="12"/>
      <c r="I23" s="4">
        <v>71.599999999999994</v>
      </c>
      <c r="J23" s="12"/>
      <c r="K23" s="4">
        <v>59.3</v>
      </c>
      <c r="L23" s="12"/>
      <c r="M23" s="4">
        <v>62.6</v>
      </c>
      <c r="N23" s="3"/>
      <c r="O23" s="4">
        <v>55.3</v>
      </c>
      <c r="P23" s="3"/>
      <c r="Q23" s="4">
        <v>87.4</v>
      </c>
      <c r="R23" s="12"/>
      <c r="S23" s="6">
        <v>102</v>
      </c>
      <c r="T23" s="12"/>
      <c r="U23" s="6">
        <v>122</v>
      </c>
      <c r="V23" s="12"/>
      <c r="W23" s="4">
        <v>92.7</v>
      </c>
      <c r="Y23" s="4">
        <v>85</v>
      </c>
      <c r="AA23" s="4">
        <v>75.5</v>
      </c>
      <c r="AC23" s="4">
        <v>59</v>
      </c>
      <c r="AE23" s="4">
        <v>66.400000000000006</v>
      </c>
      <c r="AG23" s="4">
        <v>59.8</v>
      </c>
      <c r="AI23" s="5">
        <v>49</v>
      </c>
      <c r="AK23" s="4">
        <v>42</v>
      </c>
      <c r="AL23" s="3"/>
      <c r="AM23" s="6">
        <v>34</v>
      </c>
      <c r="AN23" s="3"/>
      <c r="AO23" s="6">
        <v>34</v>
      </c>
      <c r="AP23" s="3"/>
      <c r="AQ23" s="6">
        <v>31</v>
      </c>
      <c r="AS23" s="3" t="s">
        <v>35</v>
      </c>
      <c r="AT23" s="3" t="s">
        <v>35</v>
      </c>
    </row>
    <row r="24" spans="2:46">
      <c r="B24" s="12" t="s">
        <v>76</v>
      </c>
      <c r="C24" s="32"/>
      <c r="D24" s="12"/>
      <c r="E24" s="3" t="s">
        <v>35</v>
      </c>
      <c r="F24" s="12"/>
      <c r="G24" s="12"/>
      <c r="H24" s="12"/>
      <c r="I24" s="6">
        <v>1451</v>
      </c>
      <c r="J24" s="12"/>
      <c r="K24" s="3" t="s">
        <v>35</v>
      </c>
      <c r="L24" s="12"/>
      <c r="M24" s="6">
        <v>2000</v>
      </c>
      <c r="N24" s="3"/>
      <c r="O24" s="3" t="s">
        <v>35</v>
      </c>
      <c r="P24" s="3"/>
      <c r="Q24" s="4">
        <v>986</v>
      </c>
      <c r="R24" s="12"/>
      <c r="S24" s="3"/>
      <c r="T24" s="12"/>
      <c r="U24" s="3"/>
      <c r="V24" s="12"/>
      <c r="W24" s="3"/>
      <c r="Y24" s="3"/>
      <c r="AA24" s="3"/>
      <c r="AC24" s="3"/>
      <c r="AE24" s="3"/>
      <c r="AG24" s="3"/>
      <c r="AI24" s="3"/>
      <c r="AK24" s="3"/>
      <c r="AL24" s="3"/>
      <c r="AM24" s="3"/>
      <c r="AN24" s="3"/>
      <c r="AO24" s="3"/>
      <c r="AP24" s="3"/>
      <c r="AQ24" s="3"/>
      <c r="AS24" s="3"/>
      <c r="AT24" s="3"/>
    </row>
    <row r="25" spans="2:46">
      <c r="B25" s="12" t="s">
        <v>79</v>
      </c>
      <c r="C25" s="32" t="s">
        <v>87</v>
      </c>
      <c r="D25" s="12"/>
      <c r="E25" s="3" t="s">
        <v>35</v>
      </c>
      <c r="F25" s="12"/>
      <c r="G25" s="12"/>
      <c r="H25" s="12"/>
      <c r="I25" s="4" t="s">
        <v>80</v>
      </c>
      <c r="J25" s="12"/>
      <c r="K25" s="12"/>
      <c r="L25" s="12"/>
      <c r="M25" s="3"/>
      <c r="N25" s="3"/>
      <c r="O25" s="3"/>
      <c r="P25" s="3"/>
      <c r="Q25" s="4">
        <v>17.8</v>
      </c>
      <c r="R25" s="12"/>
      <c r="S25" s="3"/>
      <c r="T25" s="12"/>
      <c r="U25" s="3"/>
      <c r="V25" s="12"/>
      <c r="W25" s="3"/>
      <c r="Y25" s="3"/>
      <c r="AA25" s="3"/>
      <c r="AC25" s="3"/>
      <c r="AE25" s="3"/>
      <c r="AG25" s="3"/>
      <c r="AI25" s="3"/>
      <c r="AK25" s="3"/>
      <c r="AL25" s="3"/>
      <c r="AM25" s="3"/>
      <c r="AN25" s="3"/>
      <c r="AO25" s="3"/>
      <c r="AP25" s="3"/>
      <c r="AQ25" s="3"/>
      <c r="AS25" s="3"/>
      <c r="AT25" s="3"/>
    </row>
    <row r="26" spans="2:46">
      <c r="B26" s="12"/>
      <c r="C26" s="32"/>
      <c r="D26" s="12"/>
      <c r="E26" s="12"/>
      <c r="F26" s="12"/>
      <c r="G26" s="12"/>
      <c r="H26" s="12"/>
      <c r="I26" s="12"/>
      <c r="J26" s="12"/>
      <c r="K26" s="12"/>
      <c r="L26" s="12"/>
      <c r="M26" s="3"/>
      <c r="N26" s="3"/>
      <c r="O26" s="3"/>
      <c r="P26" s="3"/>
      <c r="Q26" s="12"/>
      <c r="R26" s="12"/>
      <c r="S26" s="3"/>
      <c r="T26" s="12"/>
      <c r="U26" s="3"/>
      <c r="V26" s="12"/>
      <c r="W26" s="3"/>
      <c r="Y26" s="3"/>
      <c r="AA26" s="3"/>
      <c r="AC26" s="3"/>
      <c r="AE26" s="3"/>
      <c r="AG26" s="3"/>
      <c r="AI26" s="3"/>
      <c r="AK26" s="3"/>
      <c r="AL26" s="3"/>
      <c r="AM26" s="3"/>
      <c r="AN26" s="3"/>
      <c r="AO26" s="3"/>
      <c r="AP26" s="3"/>
      <c r="AQ26" s="3"/>
      <c r="AS26" s="3"/>
      <c r="AT26" s="3"/>
    </row>
    <row r="27" spans="2:46">
      <c r="B27" s="21" t="s">
        <v>56</v>
      </c>
      <c r="C27" s="32"/>
      <c r="D27" s="21"/>
      <c r="E27" s="21"/>
      <c r="F27" s="21"/>
      <c r="G27" s="21"/>
      <c r="H27" s="21"/>
      <c r="I27" s="21"/>
      <c r="J27" s="21"/>
      <c r="K27" s="12"/>
      <c r="L27" s="12"/>
      <c r="M27" s="3"/>
      <c r="N27" s="3"/>
      <c r="O27" s="3"/>
      <c r="P27" s="3"/>
      <c r="Q27" s="21"/>
      <c r="R27" s="12"/>
      <c r="S27" s="3"/>
      <c r="T27" s="12"/>
      <c r="U27" s="3"/>
      <c r="V27" s="12"/>
      <c r="W27" s="3"/>
      <c r="Y27" s="3"/>
      <c r="AA27" s="3"/>
      <c r="AC27" s="3"/>
      <c r="AE27" s="3"/>
      <c r="AG27" s="3"/>
      <c r="AI27" s="3"/>
      <c r="AK27" s="3"/>
      <c r="AL27" s="3"/>
      <c r="AM27" s="3"/>
      <c r="AN27" s="3"/>
      <c r="AO27" s="3"/>
      <c r="AP27" s="3"/>
      <c r="AQ27" s="3"/>
      <c r="AS27" s="3"/>
      <c r="AT27" s="3"/>
    </row>
    <row r="28" spans="2:46">
      <c r="B28" t="s">
        <v>30</v>
      </c>
      <c r="C28" s="34" t="s">
        <v>10</v>
      </c>
      <c r="E28" s="5">
        <v>83</v>
      </c>
      <c r="G28" s="6">
        <v>104</v>
      </c>
      <c r="I28" s="5">
        <v>81</v>
      </c>
      <c r="K28" s="4">
        <v>78</v>
      </c>
      <c r="M28" s="5">
        <v>84</v>
      </c>
      <c r="N28" s="3"/>
      <c r="O28" s="5">
        <v>82</v>
      </c>
      <c r="P28" s="3"/>
      <c r="Q28" s="4">
        <v>77</v>
      </c>
      <c r="S28" s="4">
        <v>71</v>
      </c>
      <c r="U28" s="5">
        <v>84</v>
      </c>
      <c r="W28" s="5">
        <v>86</v>
      </c>
      <c r="Y28" s="5">
        <v>89</v>
      </c>
      <c r="AA28" s="6">
        <v>91</v>
      </c>
      <c r="AC28" s="6">
        <v>94</v>
      </c>
      <c r="AE28" s="5">
        <v>87</v>
      </c>
      <c r="AG28" s="5">
        <v>88</v>
      </c>
      <c r="AI28" s="6">
        <v>96</v>
      </c>
      <c r="AK28" s="6">
        <v>92</v>
      </c>
      <c r="AL28" s="3"/>
      <c r="AM28" s="6">
        <v>85</v>
      </c>
      <c r="AN28" s="3"/>
      <c r="AO28" s="6">
        <v>89</v>
      </c>
      <c r="AP28" s="3"/>
      <c r="AQ28" s="3" t="s">
        <v>35</v>
      </c>
      <c r="AS28" s="3" t="s">
        <v>35</v>
      </c>
      <c r="AT28" s="3" t="s">
        <v>35</v>
      </c>
    </row>
    <row r="29" spans="2:46">
      <c r="B29" t="s">
        <v>59</v>
      </c>
      <c r="C29" s="34" t="s">
        <v>38</v>
      </c>
      <c r="E29" s="6">
        <v>94</v>
      </c>
      <c r="G29" s="6">
        <v>121</v>
      </c>
      <c r="I29" s="6">
        <v>107</v>
      </c>
      <c r="K29" s="6">
        <v>110</v>
      </c>
      <c r="M29" s="6">
        <v>107</v>
      </c>
      <c r="N29" s="3"/>
      <c r="O29" s="6">
        <v>116</v>
      </c>
      <c r="P29" s="3"/>
      <c r="Q29" s="4">
        <v>81</v>
      </c>
      <c r="S29" s="5">
        <v>88</v>
      </c>
      <c r="U29" s="6">
        <v>105</v>
      </c>
      <c r="W29" s="6">
        <v>112</v>
      </c>
      <c r="Y29" s="6">
        <v>113</v>
      </c>
      <c r="AA29" s="6">
        <v>121</v>
      </c>
      <c r="AC29" s="6">
        <v>115</v>
      </c>
      <c r="AE29" s="6">
        <v>112</v>
      </c>
      <c r="AG29" s="6">
        <v>112</v>
      </c>
      <c r="AI29" s="6">
        <v>121</v>
      </c>
      <c r="AK29" s="6">
        <v>129</v>
      </c>
      <c r="AL29" s="3"/>
      <c r="AM29" s="6">
        <v>119</v>
      </c>
      <c r="AN29" s="3"/>
      <c r="AO29" s="6">
        <v>109</v>
      </c>
      <c r="AP29" s="3"/>
      <c r="AQ29" s="6">
        <v>176</v>
      </c>
      <c r="AS29" s="3" t="s">
        <v>35</v>
      </c>
      <c r="AT29" s="3" t="s">
        <v>35</v>
      </c>
    </row>
    <row r="30" spans="2:46">
      <c r="B30" s="12" t="s">
        <v>90</v>
      </c>
      <c r="C30" s="34" t="s">
        <v>91</v>
      </c>
      <c r="D30" s="12"/>
      <c r="E30" s="3" t="s">
        <v>35</v>
      </c>
      <c r="F30" s="12"/>
      <c r="G30" s="4">
        <v>41.9</v>
      </c>
      <c r="H30" s="12"/>
      <c r="I30" s="4">
        <v>7</v>
      </c>
      <c r="J30" s="12"/>
      <c r="K30" s="4">
        <v>15</v>
      </c>
      <c r="L30" s="12"/>
      <c r="M30" s="4">
        <v>17</v>
      </c>
      <c r="N30" s="3"/>
      <c r="O30" s="4">
        <v>11</v>
      </c>
      <c r="P30" s="3"/>
      <c r="Q30" s="12"/>
      <c r="R30" s="12"/>
      <c r="S30" s="4">
        <v>9</v>
      </c>
      <c r="W30" s="4">
        <v>10</v>
      </c>
      <c r="AE30" s="4">
        <v>8</v>
      </c>
      <c r="AG30" s="4">
        <v>23</v>
      </c>
      <c r="AK30" s="6"/>
      <c r="AL30" s="3"/>
      <c r="AM30" s="6"/>
      <c r="AN30" s="3"/>
      <c r="AO30" s="6"/>
      <c r="AP30" s="3"/>
      <c r="AQ30" s="6"/>
      <c r="AS30" s="3"/>
      <c r="AT30" s="3"/>
    </row>
    <row r="31" spans="2:46">
      <c r="B31" t="s">
        <v>65</v>
      </c>
      <c r="C31" s="34" t="s">
        <v>32</v>
      </c>
      <c r="E31" s="6">
        <v>113</v>
      </c>
      <c r="G31" s="6">
        <v>186</v>
      </c>
      <c r="I31" s="6">
        <v>158.80000000000001</v>
      </c>
      <c r="K31" s="6">
        <v>124</v>
      </c>
      <c r="M31" s="3" t="s">
        <v>35</v>
      </c>
      <c r="N31" s="3"/>
      <c r="O31" s="6">
        <v>113</v>
      </c>
      <c r="P31" s="3"/>
      <c r="Q31" s="6">
        <v>100.3</v>
      </c>
      <c r="S31" s="6">
        <v>103.2</v>
      </c>
      <c r="W31" s="3" t="s">
        <v>35</v>
      </c>
      <c r="Y31" s="6">
        <v>154</v>
      </c>
      <c r="AA31" s="6">
        <v>105.4</v>
      </c>
      <c r="AC31" s="6">
        <v>228</v>
      </c>
      <c r="AE31" s="6">
        <v>113</v>
      </c>
      <c r="AG31" s="6">
        <v>130</v>
      </c>
      <c r="AI31" s="3" t="s">
        <v>35</v>
      </c>
      <c r="AK31" s="3" t="s">
        <v>35</v>
      </c>
      <c r="AL31" s="3"/>
      <c r="AM31" s="3" t="s">
        <v>35</v>
      </c>
      <c r="AN31" s="3"/>
      <c r="AO31" s="3" t="s">
        <v>35</v>
      </c>
      <c r="AP31" s="3"/>
      <c r="AQ31" s="3" t="s">
        <v>35</v>
      </c>
    </row>
    <row r="32" spans="2:46">
      <c r="C32" s="32"/>
      <c r="O32" s="3"/>
      <c r="S32" s="3"/>
      <c r="W32" s="3"/>
      <c r="Y32" s="3"/>
      <c r="AA32" s="3"/>
      <c r="AC32" s="3"/>
      <c r="AE32" s="3"/>
      <c r="AG32" s="3"/>
      <c r="AI32" s="3"/>
      <c r="AK32" s="3"/>
      <c r="AL32" s="3"/>
      <c r="AM32" s="3"/>
      <c r="AN32" s="3"/>
      <c r="AO32" s="3"/>
      <c r="AP32" s="3"/>
      <c r="AQ32" s="3"/>
    </row>
    <row r="33" spans="2:46">
      <c r="B33" s="1" t="s">
        <v>73</v>
      </c>
      <c r="C33" s="32"/>
      <c r="D33" s="1"/>
      <c r="E33" s="1"/>
      <c r="F33" s="1"/>
      <c r="G33" s="1"/>
      <c r="H33" s="1"/>
      <c r="I33" s="1"/>
      <c r="J33" s="1"/>
      <c r="O33" s="3"/>
      <c r="Q33" s="1"/>
      <c r="S33" s="3"/>
      <c r="W33" s="3"/>
      <c r="Y33" s="3"/>
      <c r="AA33" s="3"/>
      <c r="AC33" s="3"/>
      <c r="AE33" s="3"/>
      <c r="AG33" s="3"/>
      <c r="AI33" s="3"/>
      <c r="AK33" s="3"/>
      <c r="AL33" s="3"/>
      <c r="AM33" s="3"/>
      <c r="AN33" s="3"/>
      <c r="AO33" s="3"/>
      <c r="AP33" s="3"/>
      <c r="AQ33" s="3"/>
    </row>
    <row r="34" spans="2:46">
      <c r="B34" t="s">
        <v>66</v>
      </c>
      <c r="C34" s="34" t="s">
        <v>93</v>
      </c>
      <c r="E34" s="4">
        <v>23</v>
      </c>
      <c r="G34" s="4">
        <v>24</v>
      </c>
      <c r="I34" s="4">
        <v>19</v>
      </c>
      <c r="K34" s="6">
        <v>27</v>
      </c>
      <c r="M34" s="6">
        <v>28</v>
      </c>
      <c r="N34" s="3"/>
      <c r="O34" s="6">
        <v>28</v>
      </c>
      <c r="P34" s="3"/>
      <c r="Q34" s="37">
        <v>24.92</v>
      </c>
      <c r="S34" s="6">
        <v>26</v>
      </c>
      <c r="U34" s="37">
        <v>23</v>
      </c>
      <c r="W34" s="37">
        <v>24</v>
      </c>
      <c r="Y34" s="6">
        <v>26</v>
      </c>
      <c r="AA34" s="37">
        <v>24</v>
      </c>
      <c r="AC34" s="37">
        <v>23</v>
      </c>
      <c r="AE34" s="6">
        <v>25</v>
      </c>
      <c r="AG34" s="6">
        <v>23</v>
      </c>
      <c r="AI34" s="3" t="s">
        <v>35</v>
      </c>
      <c r="AK34" s="3" t="s">
        <v>35</v>
      </c>
      <c r="AL34" s="3"/>
      <c r="AM34" s="3" t="s">
        <v>35</v>
      </c>
      <c r="AN34" s="3"/>
      <c r="AO34" s="3" t="s">
        <v>35</v>
      </c>
      <c r="AP34" s="3"/>
      <c r="AQ34" s="3" t="s">
        <v>35</v>
      </c>
      <c r="AS34" s="6">
        <v>24</v>
      </c>
      <c r="AT34" s="6">
        <v>25</v>
      </c>
    </row>
    <row r="35" spans="2:46">
      <c r="B35" t="s">
        <v>61</v>
      </c>
      <c r="C35" s="34" t="s">
        <v>62</v>
      </c>
      <c r="E35" s="7">
        <v>0.87</v>
      </c>
      <c r="G35" s="7">
        <v>0.98</v>
      </c>
      <c r="I35" s="7">
        <v>1.02</v>
      </c>
      <c r="K35" s="4">
        <v>1</v>
      </c>
      <c r="M35" s="4">
        <v>1.1399999999999999</v>
      </c>
      <c r="N35" s="3"/>
      <c r="O35" s="4">
        <v>1.1499999999999999</v>
      </c>
      <c r="P35" s="3"/>
      <c r="Q35" s="4">
        <v>0.89</v>
      </c>
      <c r="S35" s="4">
        <v>1</v>
      </c>
      <c r="U35" s="18">
        <v>1.07</v>
      </c>
      <c r="AG35" s="4">
        <v>0.9</v>
      </c>
      <c r="AI35" s="3"/>
    </row>
    <row r="36" spans="2:46">
      <c r="B36" t="s">
        <v>72</v>
      </c>
      <c r="C36" s="34" t="s">
        <v>39</v>
      </c>
      <c r="E36" s="20">
        <f>+E34/E35</f>
        <v>26.436781609195403</v>
      </c>
      <c r="G36" s="20">
        <f>+G34/G35</f>
        <v>24.489795918367346</v>
      </c>
      <c r="I36" s="9">
        <f>+I34/I35</f>
        <v>18.627450980392158</v>
      </c>
      <c r="K36" s="20">
        <f>+K34/K35</f>
        <v>27</v>
      </c>
      <c r="M36" s="20">
        <f>+M34/M35</f>
        <v>24.561403508771932</v>
      </c>
      <c r="N36" s="29"/>
      <c r="O36" s="20">
        <f>+O34/O35</f>
        <v>24.347826086956523</v>
      </c>
      <c r="P36" s="29"/>
      <c r="Q36" s="20">
        <f>+Q34/Q35</f>
        <v>28</v>
      </c>
      <c r="S36" s="20">
        <f>+S34/S35</f>
        <v>26</v>
      </c>
      <c r="U36" s="20">
        <f>+U34/U35</f>
        <v>21.495327102803738</v>
      </c>
    </row>
    <row r="37" spans="2:46">
      <c r="C37" s="33"/>
    </row>
    <row r="38" spans="2:46">
      <c r="B38" s="1" t="s">
        <v>70</v>
      </c>
      <c r="C38" s="33"/>
      <c r="D38" s="1"/>
      <c r="E38" s="1"/>
      <c r="F38" s="1"/>
      <c r="G38" s="1"/>
      <c r="H38" s="1"/>
      <c r="I38" s="1"/>
      <c r="J38" s="1"/>
      <c r="Q38" s="1"/>
    </row>
    <row r="39" spans="2:46">
      <c r="B39" t="s">
        <v>15</v>
      </c>
      <c r="C39" s="34" t="s">
        <v>92</v>
      </c>
      <c r="E39" s="4">
        <v>0.6</v>
      </c>
      <c r="G39" s="4">
        <v>0.4</v>
      </c>
      <c r="I39" s="4">
        <v>0.59</v>
      </c>
      <c r="K39" s="4">
        <v>0.22</v>
      </c>
      <c r="M39" s="4">
        <v>1</v>
      </c>
      <c r="N39" s="3"/>
      <c r="O39" s="4">
        <v>0.22</v>
      </c>
      <c r="P39" s="3"/>
      <c r="Q39" s="4">
        <v>0.4</v>
      </c>
      <c r="S39" s="4">
        <v>0.4</v>
      </c>
      <c r="U39" s="4">
        <v>0.25</v>
      </c>
      <c r="W39" s="4">
        <v>0.27</v>
      </c>
      <c r="Y39" s="4">
        <v>0.2</v>
      </c>
      <c r="AA39" s="4">
        <v>0.26</v>
      </c>
      <c r="AC39" s="4">
        <v>0.2</v>
      </c>
      <c r="AE39" s="4">
        <v>0.18</v>
      </c>
      <c r="AG39" s="6">
        <v>1.02</v>
      </c>
      <c r="AI39" s="4">
        <v>0.2</v>
      </c>
      <c r="AK39" s="6">
        <v>0.5</v>
      </c>
      <c r="AL39" s="3"/>
      <c r="AM39" s="6">
        <v>2.8</v>
      </c>
      <c r="AN39" s="3"/>
      <c r="AO39" s="6">
        <v>0.7</v>
      </c>
      <c r="AP39" s="3"/>
      <c r="AQ39" s="6">
        <v>1.1000000000000001</v>
      </c>
      <c r="AS39" s="3" t="s">
        <v>35</v>
      </c>
      <c r="AT39" s="6">
        <v>1.1000000000000001</v>
      </c>
    </row>
    <row r="40" spans="2:46">
      <c r="B40" t="s">
        <v>67</v>
      </c>
      <c r="C40" s="34" t="s">
        <v>27</v>
      </c>
      <c r="E40" s="6">
        <v>13.6</v>
      </c>
      <c r="G40" s="4">
        <v>7.4</v>
      </c>
      <c r="I40" s="4">
        <v>6.6</v>
      </c>
      <c r="K40" s="4">
        <v>7.9</v>
      </c>
      <c r="M40" s="6">
        <v>8.1999999999999993</v>
      </c>
      <c r="N40" s="3"/>
      <c r="O40" s="6">
        <v>11.7</v>
      </c>
      <c r="P40" s="3"/>
      <c r="Q40" s="3" t="s">
        <v>35</v>
      </c>
      <c r="W40" s="6">
        <v>14.5</v>
      </c>
      <c r="AE40" s="4">
        <v>3</v>
      </c>
      <c r="AI40" s="3"/>
      <c r="AK40" s="3"/>
      <c r="AL40" s="3"/>
      <c r="AM40" s="3"/>
      <c r="AN40" s="3"/>
      <c r="AO40" s="3"/>
      <c r="AP40" s="3"/>
      <c r="AQ40" s="3"/>
      <c r="AS40" s="6"/>
      <c r="AT40" s="6"/>
    </row>
    <row r="41" spans="2:46">
      <c r="B41" s="12" t="s">
        <v>19</v>
      </c>
      <c r="C41" s="34" t="s">
        <v>51</v>
      </c>
      <c r="D41" s="12"/>
      <c r="E41" s="5">
        <v>4.4000000000000004</v>
      </c>
      <c r="F41" s="12"/>
      <c r="G41" s="5">
        <v>4.8</v>
      </c>
      <c r="H41" s="12"/>
      <c r="I41" s="12"/>
      <c r="J41" s="12"/>
      <c r="K41" s="3" t="s">
        <v>35</v>
      </c>
      <c r="L41" s="12"/>
      <c r="M41" s="5">
        <v>4.7</v>
      </c>
      <c r="N41" s="3"/>
      <c r="O41" s="5">
        <v>4.4000000000000004</v>
      </c>
      <c r="P41" s="3"/>
      <c r="Q41" s="4">
        <v>3.9</v>
      </c>
      <c r="R41" s="12"/>
      <c r="S41" s="4">
        <v>4.0999999999999996</v>
      </c>
      <c r="T41" s="12"/>
      <c r="U41" s="6">
        <v>5.0999999999999996</v>
      </c>
      <c r="V41" s="12"/>
      <c r="W41" s="4">
        <v>4.2</v>
      </c>
      <c r="Y41" s="5">
        <v>4.4000000000000004</v>
      </c>
      <c r="AA41" s="5">
        <v>3.2</v>
      </c>
      <c r="AC41" s="5">
        <v>4.3</v>
      </c>
      <c r="AE41" s="5">
        <v>4</v>
      </c>
      <c r="AG41" s="5">
        <v>3.9</v>
      </c>
      <c r="AI41" s="11">
        <v>0</v>
      </c>
      <c r="AS41" s="11"/>
      <c r="AT41" s="11"/>
    </row>
    <row r="42" spans="2:46">
      <c r="C42" s="33"/>
      <c r="AK42" s="3"/>
      <c r="AL42" s="3"/>
      <c r="AM42" s="3"/>
      <c r="AN42" s="3"/>
      <c r="AO42" s="3"/>
      <c r="AP42" s="3"/>
      <c r="AQ42" s="3"/>
      <c r="AS42" s="6"/>
      <c r="AT42" s="6"/>
    </row>
    <row r="43" spans="2:46">
      <c r="B43" s="1" t="s">
        <v>36</v>
      </c>
      <c r="C43" s="3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46">
      <c r="B44" t="s">
        <v>42</v>
      </c>
      <c r="C44" s="34" t="s">
        <v>50</v>
      </c>
      <c r="E44" s="4">
        <v>22.4</v>
      </c>
      <c r="G44" s="4">
        <v>22.4</v>
      </c>
      <c r="K44" s="6">
        <v>30.7</v>
      </c>
      <c r="M44" s="6">
        <v>5.49</v>
      </c>
      <c r="N44" s="3"/>
      <c r="O44" s="6">
        <v>3.26</v>
      </c>
      <c r="P44" s="3"/>
      <c r="Q44" s="6">
        <v>4.17</v>
      </c>
      <c r="S44" s="4">
        <v>11.9</v>
      </c>
      <c r="U44" s="6">
        <v>7</v>
      </c>
      <c r="W44" s="6">
        <v>8.8000000000000007</v>
      </c>
      <c r="Y44" s="6">
        <v>6.6</v>
      </c>
      <c r="AA44" s="6">
        <v>10.3</v>
      </c>
      <c r="AC44" s="6">
        <v>8.4</v>
      </c>
      <c r="AE44" s="6">
        <v>9.4</v>
      </c>
      <c r="AG44" s="4">
        <v>12.1</v>
      </c>
      <c r="AI44" s="6">
        <v>7.8</v>
      </c>
      <c r="AK44" s="6">
        <v>9.3000000000000007</v>
      </c>
      <c r="AL44" s="3"/>
      <c r="AM44" s="6">
        <v>8.5</v>
      </c>
      <c r="AN44" s="3"/>
      <c r="AO44" s="6">
        <v>9.4</v>
      </c>
      <c r="AP44" s="3"/>
      <c r="AQ44" s="6">
        <v>7.9</v>
      </c>
      <c r="AS44" s="5">
        <v>10.7</v>
      </c>
      <c r="AT44" s="4">
        <v>12.6</v>
      </c>
    </row>
    <row r="45" spans="2:46">
      <c r="B45" t="s">
        <v>33</v>
      </c>
      <c r="C45" s="34" t="s">
        <v>89</v>
      </c>
      <c r="E45" s="4">
        <v>1063</v>
      </c>
      <c r="G45" s="4">
        <v>1127</v>
      </c>
      <c r="I45" s="6">
        <v>531</v>
      </c>
      <c r="K45" s="6">
        <v>1369</v>
      </c>
      <c r="M45" s="6">
        <v>321</v>
      </c>
      <c r="N45" s="3"/>
      <c r="O45" s="6">
        <v>183</v>
      </c>
      <c r="P45" s="3"/>
      <c r="Q45" s="6">
        <v>243</v>
      </c>
      <c r="S45" s="6">
        <v>457</v>
      </c>
      <c r="U45" s="6">
        <v>360</v>
      </c>
      <c r="W45" s="6">
        <v>426</v>
      </c>
      <c r="Y45" s="6">
        <v>412</v>
      </c>
      <c r="AA45" s="6">
        <v>560</v>
      </c>
      <c r="AC45" s="6">
        <v>455</v>
      </c>
      <c r="AE45" s="6">
        <v>483</v>
      </c>
      <c r="AG45" s="6">
        <v>604</v>
      </c>
      <c r="AI45" s="6">
        <v>551</v>
      </c>
      <c r="AK45" s="6">
        <v>671</v>
      </c>
      <c r="AL45" s="3"/>
      <c r="AM45" s="6">
        <v>584</v>
      </c>
      <c r="AN45" s="3"/>
      <c r="AO45" s="4">
        <v>741</v>
      </c>
      <c r="AP45" s="3"/>
      <c r="AQ45" s="6">
        <v>568</v>
      </c>
      <c r="AS45" s="6">
        <v>536</v>
      </c>
      <c r="AT45" s="6">
        <v>424</v>
      </c>
    </row>
    <row r="46" spans="2:46">
      <c r="B46" t="s">
        <v>34</v>
      </c>
      <c r="C46" s="34" t="s">
        <v>47</v>
      </c>
      <c r="E46" s="3" t="s">
        <v>35</v>
      </c>
      <c r="G46" s="4">
        <v>18.100000000000001</v>
      </c>
      <c r="I46" s="3" t="s">
        <v>35</v>
      </c>
      <c r="K46" s="4">
        <v>12.4</v>
      </c>
      <c r="M46" s="4">
        <v>17.600000000000001</v>
      </c>
      <c r="N46" s="3"/>
      <c r="O46" s="3" t="s">
        <v>35</v>
      </c>
      <c r="P46" s="3"/>
      <c r="Q46" s="4">
        <v>11.9</v>
      </c>
      <c r="S46" s="3" t="s">
        <v>35</v>
      </c>
      <c r="U46" s="3" t="s">
        <v>35</v>
      </c>
      <c r="W46" s="3" t="s">
        <v>35</v>
      </c>
      <c r="Y46" s="3" t="s">
        <v>35</v>
      </c>
      <c r="AA46" s="4">
        <v>10.6</v>
      </c>
      <c r="AC46" s="4">
        <v>10.9</v>
      </c>
      <c r="AE46" s="3" t="s">
        <v>35</v>
      </c>
      <c r="AG46" s="3" t="s">
        <v>35</v>
      </c>
      <c r="AI46" s="4">
        <v>9.1999999999999993</v>
      </c>
      <c r="AK46" s="4">
        <v>14.3</v>
      </c>
      <c r="AL46" s="3"/>
      <c r="AM46" s="4">
        <v>17.399999999999999</v>
      </c>
      <c r="AN46" s="3"/>
      <c r="AO46" s="6">
        <v>19.600000000000001</v>
      </c>
      <c r="AP46" s="3"/>
      <c r="AQ46" s="4">
        <v>11</v>
      </c>
      <c r="AS46" s="4">
        <v>8.1</v>
      </c>
      <c r="AT46" s="4">
        <v>15.1</v>
      </c>
    </row>
    <row r="47" spans="2:46">
      <c r="B47" t="s">
        <v>40</v>
      </c>
      <c r="C47" s="34" t="s">
        <v>41</v>
      </c>
      <c r="E47" s="3" t="s">
        <v>35</v>
      </c>
      <c r="G47" s="4">
        <v>10</v>
      </c>
      <c r="I47" s="3" t="s">
        <v>35</v>
      </c>
      <c r="K47" s="3" t="s">
        <v>35</v>
      </c>
      <c r="M47" s="6">
        <v>18.899999999999999</v>
      </c>
      <c r="N47" s="3"/>
      <c r="O47" s="3" t="s">
        <v>35</v>
      </c>
      <c r="P47" s="3"/>
      <c r="Q47" s="3" t="s">
        <v>35</v>
      </c>
      <c r="S47" s="4">
        <v>10.4</v>
      </c>
      <c r="W47" s="3" t="s">
        <v>35</v>
      </c>
      <c r="Y47" s="3" t="s">
        <v>35</v>
      </c>
      <c r="AA47" s="4">
        <v>10.4</v>
      </c>
      <c r="AC47" s="4">
        <v>10.5</v>
      </c>
      <c r="AE47" s="3" t="s">
        <v>35</v>
      </c>
      <c r="AG47" s="6">
        <v>16.8</v>
      </c>
      <c r="AI47" s="3" t="s">
        <v>35</v>
      </c>
      <c r="AK47" s="3" t="s">
        <v>35</v>
      </c>
      <c r="AL47" s="3"/>
      <c r="AM47" s="3" t="s">
        <v>35</v>
      </c>
      <c r="AN47" s="3"/>
      <c r="AO47" s="3" t="s">
        <v>35</v>
      </c>
      <c r="AP47" s="3"/>
      <c r="AQ47" s="3" t="s">
        <v>35</v>
      </c>
    </row>
    <row r="48" spans="2:46">
      <c r="B48" t="s">
        <v>43</v>
      </c>
      <c r="C48" s="34" t="s">
        <v>46</v>
      </c>
      <c r="E48" s="4">
        <v>425</v>
      </c>
      <c r="G48" s="6">
        <v>213</v>
      </c>
      <c r="I48" s="3" t="s">
        <v>35</v>
      </c>
      <c r="K48" s="6">
        <v>274</v>
      </c>
      <c r="M48" s="6">
        <v>192</v>
      </c>
      <c r="N48" s="3"/>
      <c r="O48" s="6">
        <v>217</v>
      </c>
      <c r="P48" s="3"/>
      <c r="Q48" s="6">
        <v>184</v>
      </c>
      <c r="S48" s="3" t="s">
        <v>35</v>
      </c>
      <c r="U48" s="6">
        <v>203</v>
      </c>
      <c r="W48" s="6">
        <v>136</v>
      </c>
      <c r="Y48" s="3" t="s">
        <v>35</v>
      </c>
      <c r="AA48" s="6">
        <v>140</v>
      </c>
      <c r="AC48" s="6">
        <v>116</v>
      </c>
      <c r="AE48" s="6">
        <v>125</v>
      </c>
      <c r="AG48" s="3" t="s">
        <v>35</v>
      </c>
      <c r="AI48" s="3" t="s">
        <v>35</v>
      </c>
      <c r="AK48" s="3" t="s">
        <v>35</v>
      </c>
      <c r="AL48" s="3"/>
      <c r="AM48" s="3" t="s">
        <v>35</v>
      </c>
      <c r="AN48" s="3"/>
      <c r="AO48" s="3" t="s">
        <v>35</v>
      </c>
      <c r="AP48" s="3"/>
      <c r="AQ48" s="3" t="s">
        <v>35</v>
      </c>
      <c r="AS48" s="5">
        <v>198</v>
      </c>
      <c r="AT48" s="5">
        <v>205</v>
      </c>
    </row>
    <row r="49" spans="2:43">
      <c r="B49" t="s">
        <v>44</v>
      </c>
      <c r="C49" s="34" t="s">
        <v>45</v>
      </c>
      <c r="E49" s="6">
        <v>149</v>
      </c>
      <c r="G49" s="3" t="s">
        <v>35</v>
      </c>
      <c r="I49" s="3" t="s">
        <v>35</v>
      </c>
      <c r="K49" s="3" t="s">
        <v>35</v>
      </c>
      <c r="M49" s="3" t="s">
        <v>35</v>
      </c>
      <c r="N49" s="3"/>
      <c r="O49" s="6">
        <v>142</v>
      </c>
      <c r="P49" s="3"/>
      <c r="Q49" s="6">
        <v>112</v>
      </c>
      <c r="S49" s="3" t="s">
        <v>35</v>
      </c>
      <c r="W49" s="6">
        <v>121</v>
      </c>
      <c r="Y49" s="3" t="s">
        <v>35</v>
      </c>
      <c r="AA49" s="6">
        <v>121</v>
      </c>
      <c r="AC49" s="6">
        <v>90</v>
      </c>
      <c r="AE49" s="6">
        <v>113</v>
      </c>
      <c r="AG49" s="6">
        <v>181</v>
      </c>
      <c r="AI49" s="3" t="s">
        <v>35</v>
      </c>
      <c r="AK49" s="3" t="s">
        <v>35</v>
      </c>
      <c r="AL49" s="3"/>
      <c r="AM49" s="3" t="s">
        <v>35</v>
      </c>
      <c r="AN49" s="3"/>
      <c r="AO49" s="3" t="s">
        <v>35</v>
      </c>
      <c r="AP49" s="3"/>
      <c r="AQ49" s="3" t="s">
        <v>35</v>
      </c>
    </row>
    <row r="50" spans="2:43">
      <c r="B50" t="s">
        <v>58</v>
      </c>
      <c r="C50" s="34" t="s">
        <v>60</v>
      </c>
      <c r="E50" s="4">
        <v>0.56999999999999995</v>
      </c>
      <c r="I50" s="4">
        <v>0.5</v>
      </c>
      <c r="K50" s="4">
        <v>0.5</v>
      </c>
      <c r="M50" s="4">
        <v>0.4</v>
      </c>
      <c r="N50" s="3"/>
      <c r="O50" s="4">
        <v>0.4</v>
      </c>
      <c r="P50" s="3"/>
      <c r="Q50" s="4">
        <v>0.6</v>
      </c>
      <c r="S50" s="4">
        <v>0.9</v>
      </c>
      <c r="U50" s="4">
        <v>0.5</v>
      </c>
      <c r="AG50" s="4">
        <v>0.6</v>
      </c>
    </row>
    <row r="51" spans="2:43">
      <c r="C51" s="33"/>
    </row>
    <row r="52" spans="2:43">
      <c r="B52" s="1" t="s">
        <v>48</v>
      </c>
      <c r="C52" s="3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43">
      <c r="B53" t="s">
        <v>37</v>
      </c>
      <c r="C53" s="34" t="s">
        <v>27</v>
      </c>
      <c r="E53" s="6">
        <v>12</v>
      </c>
      <c r="G53" s="6">
        <v>12</v>
      </c>
      <c r="I53" s="23" t="s">
        <v>35</v>
      </c>
      <c r="K53" s="23" t="s">
        <v>35</v>
      </c>
      <c r="M53" s="23" t="s">
        <v>35</v>
      </c>
      <c r="N53" s="23"/>
      <c r="O53" s="4">
        <v>7.5</v>
      </c>
      <c r="P53" s="23"/>
      <c r="Q53" s="23" t="s">
        <v>35</v>
      </c>
      <c r="S53" s="3" t="s">
        <v>35</v>
      </c>
      <c r="U53" s="4">
        <v>6</v>
      </c>
      <c r="W53" s="4">
        <v>8</v>
      </c>
      <c r="Y53" s="6">
        <v>12</v>
      </c>
      <c r="AA53" s="3" t="s">
        <v>35</v>
      </c>
      <c r="AC53" s="6">
        <v>17</v>
      </c>
      <c r="AE53" s="6">
        <v>11.4</v>
      </c>
      <c r="AG53" s="3" t="s">
        <v>35</v>
      </c>
      <c r="AI53" s="3" t="s">
        <v>35</v>
      </c>
      <c r="AK53" s="3" t="s">
        <v>35</v>
      </c>
      <c r="AL53" s="3"/>
      <c r="AM53" s="3" t="s">
        <v>35</v>
      </c>
      <c r="AN53" s="3"/>
      <c r="AO53" s="3" t="s">
        <v>35</v>
      </c>
      <c r="AP53" s="3"/>
      <c r="AQ53" s="3" t="s">
        <v>35</v>
      </c>
    </row>
    <row r="54" spans="2:43">
      <c r="C54" s="33"/>
    </row>
    <row r="55" spans="2:43">
      <c r="B55" s="1" t="s">
        <v>74</v>
      </c>
      <c r="C55" s="33"/>
      <c r="D55" s="1"/>
      <c r="E55" s="1"/>
      <c r="F55" s="1"/>
      <c r="G55" s="1"/>
      <c r="H55" s="1"/>
      <c r="I55" s="1"/>
      <c r="J55" s="1"/>
      <c r="Q55" s="1"/>
    </row>
    <row r="56" spans="2:43">
      <c r="B56" t="s">
        <v>68</v>
      </c>
      <c r="C56" s="34" t="s">
        <v>86</v>
      </c>
      <c r="E56" s="4">
        <v>51</v>
      </c>
      <c r="G56" s="6">
        <v>29</v>
      </c>
      <c r="I56" s="4">
        <v>50</v>
      </c>
      <c r="K56" s="4">
        <v>47</v>
      </c>
      <c r="M56" s="4">
        <v>57</v>
      </c>
      <c r="N56" s="3"/>
      <c r="O56" s="4">
        <v>51</v>
      </c>
      <c r="P56" s="3"/>
      <c r="Q56" s="6">
        <v>40</v>
      </c>
      <c r="W56" s="6">
        <v>86</v>
      </c>
      <c r="AE56" s="6">
        <v>142</v>
      </c>
    </row>
    <row r="57" spans="2:43">
      <c r="B57" t="s">
        <v>69</v>
      </c>
      <c r="C57" s="34" t="s">
        <v>85</v>
      </c>
      <c r="E57" s="6">
        <v>2.1</v>
      </c>
      <c r="G57" s="4">
        <v>4.9000000000000004</v>
      </c>
      <c r="K57" s="4">
        <v>4.8</v>
      </c>
      <c r="M57" s="6">
        <v>2.4</v>
      </c>
      <c r="N57" s="3"/>
      <c r="O57" s="6">
        <v>2.1</v>
      </c>
      <c r="P57" s="3"/>
      <c r="Q57" s="4">
        <v>5.5</v>
      </c>
    </row>
    <row r="58" spans="2:43" ht="17" thickBot="1">
      <c r="B58" t="s">
        <v>82</v>
      </c>
      <c r="C58" s="35" t="s">
        <v>83</v>
      </c>
      <c r="G58" s="6">
        <v>193</v>
      </c>
      <c r="I58" s="6">
        <v>177</v>
      </c>
      <c r="Q58" s="4">
        <v>96</v>
      </c>
    </row>
    <row r="59" spans="2:43" ht="17">
      <c r="S59" s="19"/>
    </row>
    <row r="64" spans="2:43">
      <c r="AC64" s="17"/>
    </row>
    <row r="66" spans="29:29">
      <c r="AC66" s="17"/>
    </row>
    <row r="68" spans="29:29">
      <c r="AC68" s="2"/>
    </row>
  </sheetData>
  <mergeCells count="1">
    <mergeCell ref="AS2:AT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della Maggiora</dc:creator>
  <cp:lastModifiedBy>Eduardo della Maggiora</cp:lastModifiedBy>
  <dcterms:created xsi:type="dcterms:W3CDTF">2024-12-31T23:06:12Z</dcterms:created>
  <dcterms:modified xsi:type="dcterms:W3CDTF">2026-01-28T15:05:15Z</dcterms:modified>
</cp:coreProperties>
</file>